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definedNames>
    <definedName name="audi_cdc_bt" localSheetId="0">Arkusz1!$B$1:$F$83</definedName>
  </definedNames>
  <calcPr calcId="125725"/>
</workbook>
</file>

<file path=xl/calcChain.xml><?xml version="1.0" encoding="utf-8"?>
<calcChain xmlns="http://schemas.openxmlformats.org/spreadsheetml/2006/main">
  <c r="G30" i="1"/>
  <c r="G79" s="1"/>
</calcChain>
</file>

<file path=xl/connections.xml><?xml version="1.0" encoding="utf-8"?>
<connections xmlns="http://schemas.openxmlformats.org/spreadsheetml/2006/main">
  <connection id="1" name="audi cdc bt" type="6" refreshedVersion="3" background="1" saveData="1">
    <textPr codePage="852" sourceFile="C:\Users\mateu\Desktop\audi cdc bt.TXT" delimited="0" decimal="," thousands=" ">
      <textFields count="7">
        <textField/>
        <textField position="5"/>
        <textField position="9"/>
        <textField position="17"/>
        <textField position="56"/>
        <textField position="75"/>
        <textField position="99"/>
      </textFields>
    </textPr>
  </connection>
</connections>
</file>

<file path=xl/sharedStrings.xml><?xml version="1.0" encoding="utf-8"?>
<sst xmlns="http://schemas.openxmlformats.org/spreadsheetml/2006/main" count="436" uniqueCount="197">
  <si>
    <t>Part</t>
  </si>
  <si>
    <t>Value</t>
  </si>
  <si>
    <t>Device</t>
  </si>
  <si>
    <t>Package</t>
  </si>
  <si>
    <t>Library</t>
  </si>
  <si>
    <t>C1</t>
  </si>
  <si>
    <t>100n</t>
  </si>
  <si>
    <t>C-EUC0805</t>
  </si>
  <si>
    <t>C0805</t>
  </si>
  <si>
    <t>rcl</t>
  </si>
  <si>
    <t>C2</t>
  </si>
  <si>
    <t>22p</t>
  </si>
  <si>
    <t>C3</t>
  </si>
  <si>
    <t>C4</t>
  </si>
  <si>
    <t>C5</t>
  </si>
  <si>
    <t>C6</t>
  </si>
  <si>
    <t>C7</t>
  </si>
  <si>
    <t>C8</t>
  </si>
  <si>
    <t>C9</t>
  </si>
  <si>
    <t>C10</t>
  </si>
  <si>
    <t>1u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</si>
  <si>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</si>
  <si>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</si>
  <si>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</si>
  <si>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</si>
  <si>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</si>
  <si>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</si>
  <si>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</si>
  <si>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</si>
  <si>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</si>
  <si>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</si>
  <si>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</si>
  <si>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</si>
  <si>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</si>
  <si>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</si>
  <si>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F1</t>
  </si>
  <si>
    <t>PTCFUSE-1206</t>
  </si>
  <si>
    <t>R1206</t>
  </si>
  <si>
    <t>adafruit</t>
  </si>
  <si>
    <t>Q1</t>
  </si>
  <si>
    <t>CRYSTALHC49S</t>
  </si>
  <si>
    <t>HC49/S</t>
  </si>
  <si>
    <t>crystal</t>
  </si>
  <si>
    <t>Q2</t>
  </si>
  <si>
    <t>BC847</t>
  </si>
  <si>
    <t>BC847ALT1SMD</t>
  </si>
  <si>
    <t>SOT23</t>
  </si>
  <si>
    <t>transistor-npn</t>
  </si>
  <si>
    <t>R1</t>
  </si>
  <si>
    <t>10k</t>
  </si>
  <si>
    <t>R-EU_R0805</t>
  </si>
  <si>
    <t>R0805</t>
  </si>
  <si>
    <t>R2</t>
  </si>
  <si>
    <t>12k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</si>
  <si>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</si>
  <si>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</si>
  <si>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</si>
  <si>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</si>
  <si>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</si>
  <si>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</si>
  <si>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</si>
  <si>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</si>
  <si>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</si>
  <si>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</si>
  <si>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</si>
  <si>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20k</t>
  </si>
  <si>
    <t>R14</t>
  </si>
  <si>
    <t>R15</t>
  </si>
  <si>
    <t>1,2k</t>
  </si>
  <si>
    <t>R16</t>
  </si>
  <si>
    <t>R17</t>
  </si>
  <si>
    <t>RESET</t>
  </si>
  <si>
    <t>SWITCH_PUSHBUTTONSOFTTOUCHSMD_SJ</t>
  </si>
  <si>
    <t>PUSHBUTTON_SMD_SJ</t>
  </si>
  <si>
    <t>S1</t>
  </si>
  <si>
    <t>TP1</t>
  </si>
  <si>
    <t>TPB1,27</t>
  </si>
  <si>
    <t>B1,27</t>
  </si>
  <si>
    <t>testpad</t>
  </si>
  <si>
    <t>TP2</t>
  </si>
  <si>
    <t>TP3</t>
  </si>
  <si>
    <t>TP4</t>
  </si>
  <si>
    <t>TP5</t>
  </si>
  <si>
    <t>TP6</t>
  </si>
  <si>
    <t>TP7</t>
  </si>
  <si>
    <t>TP8</t>
  </si>
  <si>
    <t>TP9</t>
  </si>
  <si>
    <t>TR1</t>
  </si>
  <si>
    <t>AUDIO_R</t>
  </si>
  <si>
    <t>AUDIO_ISOLATION_TRANSFORMER_EI14</t>
  </si>
  <si>
    <t>EI14</t>
  </si>
  <si>
    <t>trafo EI14</t>
  </si>
  <si>
    <t>TR2</t>
  </si>
  <si>
    <t>AUDIO_L</t>
  </si>
  <si>
    <t>TR3</t>
  </si>
  <si>
    <t>U$7</t>
  </si>
  <si>
    <t>DIGISPARK</t>
  </si>
  <si>
    <t>digispark</t>
  </si>
  <si>
    <t>U1</t>
  </si>
  <si>
    <t>40PIN_BOARD</t>
  </si>
  <si>
    <t>U2</t>
  </si>
  <si>
    <t>MEGA328P</t>
  </si>
  <si>
    <t>MEGA8-AI</t>
  </si>
  <si>
    <t>TQFP32-08</t>
  </si>
  <si>
    <t>atmel</t>
  </si>
  <si>
    <t>U3</t>
  </si>
  <si>
    <t>HT6872</t>
  </si>
  <si>
    <t>SO8</t>
  </si>
  <si>
    <t>U4</t>
  </si>
  <si>
    <t>U5</t>
  </si>
  <si>
    <t>U6</t>
  </si>
  <si>
    <t>SOT223</t>
  </si>
  <si>
    <t>lm1117</t>
  </si>
  <si>
    <t>X1</t>
  </si>
  <si>
    <t>HEADER_POS4_43045-0401</t>
  </si>
  <si>
    <t>43045-0400</t>
  </si>
  <si>
    <t>con-molex-micro-fit-3_0</t>
  </si>
  <si>
    <t>X2</t>
  </si>
  <si>
    <t>HEADER_POS16_43045-1600</t>
  </si>
  <si>
    <t>43045-1600</t>
  </si>
  <si>
    <t>X3</t>
  </si>
  <si>
    <t>PINHD-1X4</t>
  </si>
  <si>
    <t>1X04</t>
  </si>
  <si>
    <t>pinhead</t>
  </si>
  <si>
    <t>X4</t>
  </si>
  <si>
    <t>STX3100</t>
  </si>
  <si>
    <t>audio amplifier example</t>
  </si>
  <si>
    <t>X5</t>
  </si>
  <si>
    <t>USB-A-H</t>
  </si>
  <si>
    <t>con-usb</t>
  </si>
  <si>
    <t>AUDIO_MIC</t>
  </si>
  <si>
    <t xml:space="preserve">BK3266_BOARD   </t>
  </si>
  <si>
    <t>AMS1117-3.3</t>
  </si>
  <si>
    <t>LM1117MPX-3.3</t>
  </si>
  <si>
    <t>STEREOJACK</t>
  </si>
  <si>
    <t>16 MHz</t>
  </si>
  <si>
    <t>Cena</t>
  </si>
  <si>
    <t>molex 4 pin</t>
  </si>
  <si>
    <t>molex 16 pin</t>
  </si>
  <si>
    <t>goldpin 4 pin</t>
  </si>
  <si>
    <t>mini STEREOJACK</t>
  </si>
  <si>
    <t>Gdzie</t>
  </si>
  <si>
    <t>https://allegro.pl/oferta/kondensator-smd-0805-1uf-25v-10-szt-1337-10-6880076309</t>
  </si>
  <si>
    <t>https://www.tme.eu/pl/details/atmega328p-au/rodzina-avr-8-bit/microchip-atmel/</t>
  </si>
  <si>
    <t>https://www.tme.eu/pl/details/mx-43045-0400/zlacza-sygnalowe-raster-3-00mm/molex/43045-0400/</t>
  </si>
  <si>
    <t>https://www.tme.eu/pl/details/mx-43045-1600/zlacza-sygnalowe-raster-3-00mm/molex/43045-1600/</t>
  </si>
  <si>
    <t>Suma</t>
  </si>
  <si>
    <t>obudowa</t>
  </si>
  <si>
    <t>https://pl.aliexpress.com/item/32827431499.html?spm=a2g0s.9042311.0.0.50735c0friSdsd</t>
  </si>
  <si>
    <t>pcb</t>
  </si>
  <si>
    <t>https://pl.aliexpress.com/item/32796641499.html</t>
  </si>
  <si>
    <t>https://pl.aliexpress.com/item/32824037848.html</t>
  </si>
  <si>
    <t>https://pl.aliexpress.com/item/32891293434.html</t>
  </si>
  <si>
    <t>https://pl.aliexpress.com/item/4000786382682.html</t>
  </si>
  <si>
    <t>z97</t>
  </si>
  <si>
    <t>https://www.tme.eu/pl/details/z-97/obudowy-z-panelem/kradex/z97/</t>
  </si>
  <si>
    <t>5,7 $</t>
  </si>
  <si>
    <t>jlcpcb</t>
  </si>
  <si>
    <t>Zamówione</t>
  </si>
  <si>
    <t>bk3254 3 szt.</t>
  </si>
  <si>
    <t>10 szt.</t>
  </si>
  <si>
    <t>nie trzeba</t>
  </si>
  <si>
    <t>100 szt.</t>
  </si>
  <si>
    <t>6 szt.</t>
  </si>
  <si>
    <t>2 szt.</t>
  </si>
  <si>
    <t xml:space="preserve">10 szt. </t>
  </si>
  <si>
    <t>S2</t>
  </si>
  <si>
    <t>S3</t>
  </si>
  <si>
    <t>pad do zlutowania</t>
  </si>
  <si>
    <t>50 szt.</t>
  </si>
  <si>
    <t>3 szt.</t>
  </si>
  <si>
    <t>1A</t>
  </si>
  <si>
    <t>5 szt.</t>
  </si>
  <si>
    <t>https://www.tme.eu/pl/details/cl21b104kbcnnnc/kondensatory-mlcc-smd-0805/samsung/</t>
  </si>
  <si>
    <t>https://www.tme.eu/pl/details/cc0805jrnpo9220/kondensatory-mlcc-smd-0805/yageo/cc0805jrnpo9bn220/</t>
  </si>
  <si>
    <t>C-EUC0806</t>
  </si>
  <si>
    <t>C0806</t>
  </si>
  <si>
    <t>https://www.tme.eu/pl/details/erbrg1r00v/bezpieczniki-smd-1206-szybkie/panasonic/</t>
  </si>
  <si>
    <t>https://www.tme.eu/pl/details/16.00m-hc49-s/rezonatory-kwarcowe-tht/yic/</t>
  </si>
  <si>
    <t>https://pl.aliexpress.com/item/33011051664.html?spm=a2g0s.9042311.0.0.27425c0fiXW19s</t>
  </si>
  <si>
    <t>https://pl.aliexpress.com/item/32969301387.html?spm=a2g0s.9042311.0.0.27425c0fiXW19s</t>
  </si>
  <si>
    <t>https://www.tme.eu/pl/details/smd0805-12k-1%25/rezystory-smd-0805/royal-ohm/0805s8f1202t5e/</t>
  </si>
  <si>
    <t>0,08050 </t>
  </si>
  <si>
    <t>2,2983 </t>
  </si>
  <si>
    <t>0,06133 </t>
  </si>
  <si>
    <t>https://www.tme.eu/pl/details/smd0805-20k-1%25/rezystory-smd-0805/royal-ohm/0805s8f2002t5e/</t>
  </si>
  <si>
    <t>https://www.tme.eu/pl/details/smd0805-1k2-1%25/rezystory-smd-0805/royal-ohm/0805s8f1201t5e/</t>
  </si>
  <si>
    <t>https://pl.aliexpress.com/item/32652031692.html?spm=a2g0s.9042311.0.0.27425c0fEeSRBw</t>
  </si>
  <si>
    <t>BK3254</t>
  </si>
  <si>
    <t>BK3266/BK3254</t>
  </si>
  <si>
    <t>Przesyłka</t>
  </si>
  <si>
    <t>https://pl.aliexpress.com/item/32965069882.html?spm=a2g0s.9042311.0.0.27425c0fEeSRBw</t>
  </si>
  <si>
    <t>przesylka</t>
  </si>
  <si>
    <t>https://pl.aliexpress.com/item/32834083645.html?spm=a2g0s.9042311.0.0.27425c0fEeSRBw</t>
  </si>
  <si>
    <t>https://pl.aliexpress.com/item/1005001705110068.html?spm=a2g0s.9042311.0.0.27425c0fEeSRBw</t>
  </si>
  <si>
    <t>https://pl.aliexpress.com/item/33030284477.html?spm=a2g0s.9042311.0.0.27425c0fEeSRBw</t>
  </si>
  <si>
    <t>mini iso niebieskie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</si>
</sst>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charset val="238"/>
      <scheme val="minor"/>
    </font>
    <font>
      <sz val="11"/>
      <color rgb="FF2E353B"/>
      <name val="Arial"/>
      <family val="2"/>
      <charset val="238"/>
    </font>
    <font>
      <u/>
      <sz val="11"/>
      <color theme="10"/>
      <name val="Calibri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7">
    <xf numFmtId="0" fontId="0" fillId="0" borderId="0" xfId="0"/>
    <xf numFmtId="0" fontId="2" fillId="0" borderId="0" xfId="1" applyAlignment="1" applyProtection="1"/>
    <xf numFmtId="0" fontId="2" fillId="0" borderId="0" xfId="1" applyNumberFormat="1" applyAlignment="1" applyProtection="1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left" vertical="center"/>
    </xf>
    <xf numFmtId="0" fontId="3" fillId="2" borderId="1" xfId="2" applyBorder="1" applyAlignment="1">
      <alignment horizontal="center" vertical="center"/>
    </xf>
    <xf numFmtId="0" fontId="3" fillId="2" borderId="1" xfId="2" applyBorder="1"/>
    <xf numFmtId="0" fontId="3" fillId="2" borderId="1" xfId="2" applyBorder="1" applyAlignment="1">
      <alignment horizontal="center"/>
    </xf>
    <xf numFmtId="0" fontId="3" fillId="2" borderId="1" xfId="2" applyBorder="1" applyAlignment="1">
      <alignment horizontal="center" vertical="center"/>
    </xf>
    <xf numFmtId="0" fontId="3" fillId="2" borderId="1" xfId="2" applyBorder="1" applyAlignment="1">
      <alignment horizontal="center" vertical="center"/>
    </xf>
    <xf numFmtId="0" fontId="3" fillId="2" borderId="0" xfId="2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2" borderId="1" xfId="2" applyBorder="1" applyAlignment="1">
      <alignment horizontal="center" vertical="center"/>
    </xf>
    <xf numFmtId="0" fontId="4" fillId="3" borderId="1" xfId="3" applyBorder="1" applyAlignment="1">
      <alignment horizontal="center" vertical="center"/>
    </xf>
  </cellXfs>
  <cellStyles count="4">
    <cellStyle name="Dobre" xfId="2" builtinId="26"/>
    <cellStyle name="Hiperłącze" xfId="1" builtinId="8"/>
    <cellStyle name="Neutralne" xfId="3" builtinId="28"/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udi cdc b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pl/details/erbrg1r00v/bezpieczniki-smd-1206-szybkie/panasonic/" TargetMode="External"/><Relationship Id="rId3" Type="http://schemas.openxmlformats.org/officeDocument/2006/relationships/hyperlink" Target="https://pl.aliexpress.com/item/32891293434.html" TargetMode="External"/><Relationship Id="rId7" Type="http://schemas.openxmlformats.org/officeDocument/2006/relationships/hyperlink" Target="https://www.tme.eu/pl/details/cl21b104kbcnnnc/kondensatory-mlcc-smd-0805/samsung/" TargetMode="External"/><Relationship Id="rId2" Type="http://schemas.openxmlformats.org/officeDocument/2006/relationships/hyperlink" Target="https://pl.aliexpress.com/item/32824037848.html" TargetMode="External"/><Relationship Id="rId1" Type="http://schemas.openxmlformats.org/officeDocument/2006/relationships/hyperlink" Target="https://allegro.pl/oferta/kondensator-smd-0805-1uf-25v-10-szt-1337-10-6880076309" TargetMode="External"/><Relationship Id="rId6" Type="http://schemas.openxmlformats.org/officeDocument/2006/relationships/hyperlink" Target="https://www.tme.eu/pl/details/mx-43045-0400/zlacza-sygnalowe-raster-3-00mm/molex/43045-0400/" TargetMode="External"/><Relationship Id="rId5" Type="http://schemas.openxmlformats.org/officeDocument/2006/relationships/hyperlink" Target="https://pl.aliexpress.com/item/32796641499.html" TargetMode="External"/><Relationship Id="rId10" Type="http://schemas.openxmlformats.org/officeDocument/2006/relationships/queryTable" Target="../queryTables/queryTable1.xml"/><Relationship Id="rId4" Type="http://schemas.openxmlformats.org/officeDocument/2006/relationships/hyperlink" Target="https://pl.aliexpress.com/item/4000786382682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81"/>
  <sheetViews>
    <sheetView tabSelected="1" zoomScale="85" zoomScaleNormal="85" workbookViewId="0">
      <selection activeCell="I4" sqref="I3:I8"/>
    </sheetView>
  </sheetViews>
  <sheetFormatPr defaultRowHeight="15"/>
  <cols>
    <col min="1" max="1" width="15.7109375" customWidth="1"/>
    <col min="2" max="2" width="6.85546875" bestFit="1" customWidth="1"/>
    <col min="3" max="3" width="19.140625" customWidth="1"/>
    <col min="4" max="4" width="41" bestFit="1" customWidth="1"/>
    <col min="5" max="5" width="21" bestFit="1" customWidth="1"/>
    <col min="6" max="6" width="23.140625" bestFit="1" customWidth="1"/>
    <col min="7" max="7" width="9.7109375" style="3" bestFit="1" customWidth="1"/>
    <col min="8" max="8" width="9.7109375" style="3" customWidth="1"/>
    <col min="9" max="9" width="97.28515625" customWidth="1"/>
    <col min="10" max="10" width="102" customWidth="1"/>
  </cols>
  <sheetData>
    <row r="2" spans="1:9">
      <c r="A2" t="s">
        <v>158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 t="s">
        <v>136</v>
      </c>
      <c r="I2" t="s">
        <v>141</v>
      </c>
    </row>
    <row r="4" spans="1:9">
      <c r="A4" s="9" t="s">
        <v>162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s="12" t="s">
        <v>182</v>
      </c>
      <c r="H4" s="4"/>
      <c r="I4" s="1" t="s">
        <v>173</v>
      </c>
    </row>
    <row r="5" spans="1:9">
      <c r="A5" s="9" t="s">
        <v>162</v>
      </c>
      <c r="B5" t="s">
        <v>10</v>
      </c>
      <c r="C5" t="s">
        <v>11</v>
      </c>
      <c r="D5" t="s">
        <v>7</v>
      </c>
      <c r="E5" t="s">
        <v>8</v>
      </c>
      <c r="F5" t="s">
        <v>9</v>
      </c>
      <c r="G5" s="12">
        <v>6.2960000000000002E-2</v>
      </c>
      <c r="H5" s="4"/>
      <c r="I5" s="1" t="s">
        <v>174</v>
      </c>
    </row>
    <row r="6" spans="1:9">
      <c r="A6" s="7"/>
      <c r="B6" t="s">
        <v>12</v>
      </c>
      <c r="C6" t="s">
        <v>11</v>
      </c>
      <c r="D6" t="s">
        <v>175</v>
      </c>
      <c r="E6" t="s">
        <v>176</v>
      </c>
      <c r="F6" t="s">
        <v>9</v>
      </c>
      <c r="G6" s="12">
        <v>6.2969999999999998E-2</v>
      </c>
      <c r="H6" s="4"/>
    </row>
    <row r="7" spans="1:9">
      <c r="A7" s="7"/>
      <c r="B7" t="s">
        <v>13</v>
      </c>
      <c r="C7" t="s">
        <v>6</v>
      </c>
      <c r="D7" t="s">
        <v>7</v>
      </c>
      <c r="E7" t="s">
        <v>8</v>
      </c>
      <c r="F7" t="s">
        <v>9</v>
      </c>
      <c r="G7" s="12" t="s">
        <v>182</v>
      </c>
      <c r="H7" s="4"/>
    </row>
    <row r="8" spans="1:9">
      <c r="A8" s="7"/>
      <c r="B8" t="s">
        <v>14</v>
      </c>
      <c r="C8" t="s">
        <v>6</v>
      </c>
      <c r="D8" t="s">
        <v>7</v>
      </c>
      <c r="E8" t="s">
        <v>8</v>
      </c>
      <c r="F8" t="s">
        <v>9</v>
      </c>
      <c r="G8" s="12" t="s">
        <v>182</v>
      </c>
      <c r="H8" s="4"/>
    </row>
    <row r="9" spans="1:9">
      <c r="A9" s="7"/>
      <c r="B9" t="s">
        <v>15</v>
      </c>
      <c r="C9" t="s">
        <v>6</v>
      </c>
      <c r="D9" t="s">
        <v>7</v>
      </c>
      <c r="E9" t="s">
        <v>8</v>
      </c>
      <c r="F9" t="s">
        <v>9</v>
      </c>
      <c r="G9" s="12" t="s">
        <v>182</v>
      </c>
      <c r="H9" s="4"/>
    </row>
    <row r="10" spans="1:9">
      <c r="A10" s="7"/>
      <c r="B10" t="s">
        <v>16</v>
      </c>
      <c r="C10" t="s">
        <v>6</v>
      </c>
      <c r="D10" t="s">
        <v>7</v>
      </c>
      <c r="E10" t="s">
        <v>8</v>
      </c>
      <c r="F10" t="s">
        <v>9</v>
      </c>
      <c r="G10" s="12" t="s">
        <v>182</v>
      </c>
      <c r="H10" s="4"/>
    </row>
    <row r="11" spans="1:9">
      <c r="A11" s="7"/>
      <c r="B11" t="s">
        <v>17</v>
      </c>
      <c r="C11" t="s">
        <v>6</v>
      </c>
      <c r="D11" t="s">
        <v>7</v>
      </c>
      <c r="E11" t="s">
        <v>8</v>
      </c>
      <c r="F11" t="s">
        <v>9</v>
      </c>
      <c r="G11" s="12" t="s">
        <v>182</v>
      </c>
      <c r="H11" s="4"/>
    </row>
    <row r="12" spans="1:9">
      <c r="A12" s="7"/>
      <c r="B12" t="s">
        <v>18</v>
      </c>
      <c r="C12" t="s">
        <v>6</v>
      </c>
      <c r="D12" t="s">
        <v>7</v>
      </c>
      <c r="E12" t="s">
        <v>8</v>
      </c>
      <c r="F12" t="s">
        <v>9</v>
      </c>
      <c r="G12" s="12" t="s">
        <v>182</v>
      </c>
      <c r="H12" s="4"/>
    </row>
    <row r="13" spans="1:9">
      <c r="A13" s="10" t="s">
        <v>162</v>
      </c>
      <c r="B13" t="s">
        <v>19</v>
      </c>
      <c r="C13" t="s">
        <v>20</v>
      </c>
      <c r="D13" t="s">
        <v>7</v>
      </c>
      <c r="E13" t="s">
        <v>8</v>
      </c>
      <c r="F13" t="s">
        <v>9</v>
      </c>
      <c r="G13" s="13">
        <v>0.1</v>
      </c>
      <c r="H13" s="4"/>
      <c r="I13" s="1" t="s">
        <v>142</v>
      </c>
    </row>
    <row r="14" spans="1:9">
      <c r="A14" s="7"/>
      <c r="B14" t="s">
        <v>21</v>
      </c>
      <c r="C14" t="s">
        <v>20</v>
      </c>
      <c r="D14" t="s">
        <v>7</v>
      </c>
      <c r="E14" t="s">
        <v>8</v>
      </c>
      <c r="F14" t="s">
        <v>9</v>
      </c>
      <c r="G14" s="13">
        <v>0.1</v>
      </c>
      <c r="H14" s="4"/>
    </row>
    <row r="15" spans="1:9">
      <c r="A15" s="7"/>
      <c r="B15" t="s">
        <v>22</v>
      </c>
      <c r="C15" t="s">
        <v>20</v>
      </c>
      <c r="D15" t="s">
        <v>7</v>
      </c>
      <c r="E15" t="s">
        <v>8</v>
      </c>
      <c r="F15" t="s">
        <v>9</v>
      </c>
      <c r="G15" s="13">
        <v>0.1</v>
      </c>
      <c r="H15" s="4"/>
    </row>
    <row r="16" spans="1:9">
      <c r="A16" s="7"/>
      <c r="B16" t="s">
        <v>23</v>
      </c>
      <c r="C16" t="s">
        <v>20</v>
      </c>
      <c r="D16" t="s">
        <v>7</v>
      </c>
      <c r="E16" t="s">
        <v>8</v>
      </c>
      <c r="F16" t="s">
        <v>9</v>
      </c>
      <c r="G16" s="13">
        <v>0.1</v>
      </c>
      <c r="H16" s="4"/>
    </row>
    <row r="17" spans="1:9">
      <c r="A17" s="7"/>
      <c r="B17" t="s">
        <v>24</v>
      </c>
      <c r="C17" t="s">
        <v>20</v>
      </c>
      <c r="D17" t="s">
        <v>7</v>
      </c>
      <c r="E17" t="s">
        <v>8</v>
      </c>
      <c r="F17" t="s">
        <v>9</v>
      </c>
      <c r="G17" s="13">
        <v>0.1</v>
      </c>
      <c r="H17" s="4"/>
    </row>
    <row r="18" spans="1:9">
      <c r="A18" s="7"/>
      <c r="B18" t="s">
        <v>25</v>
      </c>
      <c r="C18" t="s">
        <v>20</v>
      </c>
      <c r="D18" t="s">
        <v>7</v>
      </c>
      <c r="E18" t="s">
        <v>8</v>
      </c>
      <c r="F18" t="s">
        <v>9</v>
      </c>
      <c r="G18" s="13">
        <v>0.1</v>
      </c>
      <c r="H18" s="4"/>
    </row>
    <row r="19" spans="1:9">
      <c r="A19" s="7"/>
      <c r="B19" t="s">
        <v>26</v>
      </c>
      <c r="C19" t="s">
        <v>20</v>
      </c>
      <c r="D19" t="s">
        <v>7</v>
      </c>
      <c r="E19" t="s">
        <v>8</v>
      </c>
      <c r="F19" t="s">
        <v>9</v>
      </c>
      <c r="G19" s="13">
        <v>0.1</v>
      </c>
      <c r="H19" s="4"/>
    </row>
    <row r="20" spans="1:9">
      <c r="A20" s="7"/>
      <c r="B20" t="s">
        <v>27</v>
      </c>
      <c r="C20" t="s">
        <v>20</v>
      </c>
      <c r="D20" t="s">
        <v>7</v>
      </c>
      <c r="E20" t="s">
        <v>8</v>
      </c>
      <c r="F20" t="s">
        <v>9</v>
      </c>
      <c r="G20" s="13">
        <v>0.1</v>
      </c>
      <c r="H20" s="4"/>
    </row>
    <row r="21" spans="1:9">
      <c r="A21" s="7"/>
      <c r="B21" t="s">
        <v>28</v>
      </c>
      <c r="C21" t="s">
        <v>20</v>
      </c>
      <c r="D21" t="s">
        <v>7</v>
      </c>
      <c r="E21" t="s">
        <v>8</v>
      </c>
      <c r="F21" t="s">
        <v>9</v>
      </c>
      <c r="G21" s="13">
        <v>0.1</v>
      </c>
      <c r="H21" s="4"/>
    </row>
    <row r="22" spans="1:9">
      <c r="A22" s="7"/>
      <c r="B22" t="s">
        <v>29</v>
      </c>
      <c r="C22" t="s">
        <v>20</v>
      </c>
      <c r="D22" t="s">
        <v>7</v>
      </c>
      <c r="E22" t="s">
        <v>8</v>
      </c>
      <c r="F22" t="s">
        <v>9</v>
      </c>
      <c r="G22" s="13">
        <v>0.1</v>
      </c>
      <c r="H22" s="4"/>
    </row>
    <row r="23" spans="1:9">
      <c r="A23" s="7"/>
      <c r="B23" t="s">
        <v>30</v>
      </c>
      <c r="C23" t="s">
        <v>20</v>
      </c>
      <c r="D23" t="s">
        <v>7</v>
      </c>
      <c r="E23" t="s">
        <v>8</v>
      </c>
      <c r="F23" t="s">
        <v>9</v>
      </c>
      <c r="G23" s="13">
        <v>0.1</v>
      </c>
      <c r="H23" s="4"/>
    </row>
    <row r="24" spans="1:9">
      <c r="A24" s="7"/>
      <c r="B24" t="s">
        <v>31</v>
      </c>
      <c r="C24" t="s">
        <v>6</v>
      </c>
      <c r="D24" t="s">
        <v>7</v>
      </c>
      <c r="E24" t="s">
        <v>8</v>
      </c>
      <c r="F24" t="s">
        <v>9</v>
      </c>
      <c r="G24" s="12" t="s">
        <v>182</v>
      </c>
      <c r="H24" s="4"/>
    </row>
    <row r="25" spans="1:9">
      <c r="A25" s="7"/>
      <c r="B25" t="s">
        <v>32</v>
      </c>
      <c r="C25" t="s">
        <v>6</v>
      </c>
      <c r="D25" t="s">
        <v>7</v>
      </c>
      <c r="E25" t="s">
        <v>8</v>
      </c>
      <c r="F25" t="s">
        <v>9</v>
      </c>
      <c r="G25" s="12" t="s">
        <v>182</v>
      </c>
      <c r="H25" s="4"/>
    </row>
    <row r="26" spans="1:9">
      <c r="A26" s="7"/>
      <c r="B26" t="s">
        <v>33</v>
      </c>
      <c r="C26" t="s">
        <v>20</v>
      </c>
      <c r="D26" t="s">
        <v>7</v>
      </c>
      <c r="E26" t="s">
        <v>8</v>
      </c>
      <c r="F26" t="s">
        <v>9</v>
      </c>
      <c r="G26" s="13">
        <v>0.1</v>
      </c>
      <c r="H26" s="4"/>
    </row>
    <row r="27" spans="1:9">
      <c r="A27" s="7"/>
      <c r="B27" t="s">
        <v>34</v>
      </c>
      <c r="C27" t="s">
        <v>20</v>
      </c>
      <c r="D27" t="s">
        <v>7</v>
      </c>
      <c r="E27" t="s">
        <v>8</v>
      </c>
      <c r="F27" t="s">
        <v>9</v>
      </c>
      <c r="G27" s="13">
        <v>0.1</v>
      </c>
      <c r="H27" s="4"/>
    </row>
    <row r="28" spans="1:9">
      <c r="A28" s="9" t="s">
        <v>170</v>
      </c>
      <c r="B28" t="s">
        <v>35</v>
      </c>
      <c r="C28" t="s">
        <v>171</v>
      </c>
      <c r="D28" t="s">
        <v>36</v>
      </c>
      <c r="E28" t="s">
        <v>37</v>
      </c>
      <c r="F28" t="s">
        <v>38</v>
      </c>
      <c r="G28" s="12">
        <v>2.0687600000000002</v>
      </c>
      <c r="H28" s="4"/>
      <c r="I28" s="1" t="s">
        <v>177</v>
      </c>
    </row>
    <row r="29" spans="1:9">
      <c r="A29" s="9" t="s">
        <v>170</v>
      </c>
      <c r="B29" t="s">
        <v>39</v>
      </c>
      <c r="C29" t="s">
        <v>135</v>
      </c>
      <c r="D29" t="s">
        <v>40</v>
      </c>
      <c r="E29" t="s">
        <v>41</v>
      </c>
      <c r="F29" t="s">
        <v>42</v>
      </c>
      <c r="G29" s="12" t="s">
        <v>183</v>
      </c>
      <c r="H29" s="4"/>
      <c r="I29" t="s">
        <v>178</v>
      </c>
    </row>
    <row r="30" spans="1:9">
      <c r="A30" s="9" t="s">
        <v>162</v>
      </c>
      <c r="B30" t="s">
        <v>43</v>
      </c>
      <c r="C30" t="s">
        <v>44</v>
      </c>
      <c r="D30" t="s">
        <v>45</v>
      </c>
      <c r="E30" t="s">
        <v>46</v>
      </c>
      <c r="F30" t="s">
        <v>47</v>
      </c>
      <c r="G30" s="13">
        <f>2.88/100</f>
        <v>2.8799999999999999E-2</v>
      </c>
      <c r="H30" s="4"/>
      <c r="I30" t="s">
        <v>179</v>
      </c>
    </row>
    <row r="31" spans="1:9">
      <c r="A31" s="9" t="s">
        <v>162</v>
      </c>
      <c r="B31" t="s">
        <v>48</v>
      </c>
      <c r="C31" t="s">
        <v>49</v>
      </c>
      <c r="D31" t="s">
        <v>50</v>
      </c>
      <c r="E31" t="s">
        <v>51</v>
      </c>
      <c r="F31" t="s">
        <v>9</v>
      </c>
      <c r="G31" s="13">
        <v>3.5000000000000003E-2</v>
      </c>
      <c r="H31" s="4"/>
      <c r="I31" t="s">
        <v>180</v>
      </c>
    </row>
    <row r="32" spans="1:9">
      <c r="A32" s="9" t="s">
        <v>162</v>
      </c>
      <c r="B32" t="s">
        <v>52</v>
      </c>
      <c r="C32" t="s">
        <v>53</v>
      </c>
      <c r="D32" t="s">
        <v>50</v>
      </c>
      <c r="E32" t="s">
        <v>51</v>
      </c>
      <c r="F32" t="s">
        <v>9</v>
      </c>
      <c r="G32" s="12" t="s">
        <v>184</v>
      </c>
      <c r="H32" s="4"/>
      <c r="I32" t="s">
        <v>181</v>
      </c>
    </row>
    <row r="33" spans="1:9">
      <c r="A33" s="9"/>
      <c r="B33" t="s">
        <v>54</v>
      </c>
      <c r="C33" t="s">
        <v>53</v>
      </c>
      <c r="D33" t="s">
        <v>50</v>
      </c>
      <c r="E33" t="s">
        <v>51</v>
      </c>
      <c r="F33" t="s">
        <v>9</v>
      </c>
      <c r="G33" s="12" t="s">
        <v>184</v>
      </c>
      <c r="H33" s="4"/>
    </row>
    <row r="34" spans="1:9">
      <c r="A34" s="9"/>
      <c r="B34" t="s">
        <v>55</v>
      </c>
      <c r="C34" t="s">
        <v>53</v>
      </c>
      <c r="D34" t="s">
        <v>50</v>
      </c>
      <c r="E34" t="s">
        <v>51</v>
      </c>
      <c r="F34" t="s">
        <v>9</v>
      </c>
      <c r="G34" s="12" t="s">
        <v>184</v>
      </c>
      <c r="H34" s="4"/>
    </row>
    <row r="35" spans="1:9">
      <c r="A35" s="9"/>
      <c r="B35" t="s">
        <v>56</v>
      </c>
      <c r="C35" t="s">
        <v>53</v>
      </c>
      <c r="D35" t="s">
        <v>50</v>
      </c>
      <c r="E35" t="s">
        <v>51</v>
      </c>
      <c r="F35" t="s">
        <v>9</v>
      </c>
      <c r="G35" s="12" t="s">
        <v>184</v>
      </c>
      <c r="H35" s="4"/>
    </row>
    <row r="36" spans="1:9">
      <c r="A36" s="9"/>
      <c r="B36" t="s">
        <v>57</v>
      </c>
      <c r="C36" t="s">
        <v>53</v>
      </c>
      <c r="D36" t="s">
        <v>50</v>
      </c>
      <c r="E36" t="s">
        <v>51</v>
      </c>
      <c r="F36" t="s">
        <v>9</v>
      </c>
      <c r="G36" s="12" t="s">
        <v>184</v>
      </c>
      <c r="H36" s="4"/>
    </row>
    <row r="37" spans="1:9">
      <c r="A37" s="9"/>
      <c r="B37" t="s">
        <v>58</v>
      </c>
      <c r="C37" t="s">
        <v>53</v>
      </c>
      <c r="D37" t="s">
        <v>50</v>
      </c>
      <c r="E37" t="s">
        <v>51</v>
      </c>
      <c r="F37" t="s">
        <v>9</v>
      </c>
      <c r="G37" s="12" t="s">
        <v>184</v>
      </c>
      <c r="H37" s="4"/>
    </row>
    <row r="38" spans="1:9">
      <c r="A38" s="9"/>
      <c r="B38" t="s">
        <v>59</v>
      </c>
      <c r="C38" t="s">
        <v>49</v>
      </c>
      <c r="D38" t="s">
        <v>50</v>
      </c>
      <c r="E38" t="s">
        <v>51</v>
      </c>
      <c r="F38" t="s">
        <v>9</v>
      </c>
      <c r="G38" s="13">
        <v>3.5000000000000003E-2</v>
      </c>
      <c r="H38" s="4"/>
    </row>
    <row r="39" spans="1:9">
      <c r="A39" s="9"/>
      <c r="B39" t="s">
        <v>60</v>
      </c>
      <c r="C39" t="s">
        <v>49</v>
      </c>
      <c r="D39" t="s">
        <v>50</v>
      </c>
      <c r="E39" t="s">
        <v>51</v>
      </c>
      <c r="F39" t="s">
        <v>9</v>
      </c>
      <c r="G39" s="13">
        <v>3.5000000000000003E-2</v>
      </c>
      <c r="H39" s="4"/>
    </row>
    <row r="40" spans="1:9">
      <c r="A40" s="9"/>
      <c r="B40" t="s">
        <v>61</v>
      </c>
      <c r="C40" t="s">
        <v>49</v>
      </c>
      <c r="D40" t="s">
        <v>50</v>
      </c>
      <c r="E40" t="s">
        <v>51</v>
      </c>
      <c r="F40" t="s">
        <v>9</v>
      </c>
      <c r="G40" s="13">
        <v>3.5000000000000003E-2</v>
      </c>
      <c r="H40" s="4"/>
    </row>
    <row r="41" spans="1:9">
      <c r="A41" s="9"/>
      <c r="B41" t="s">
        <v>62</v>
      </c>
      <c r="C41" t="s">
        <v>49</v>
      </c>
      <c r="D41" t="s">
        <v>50</v>
      </c>
      <c r="E41" t="s">
        <v>51</v>
      </c>
      <c r="F41" t="s">
        <v>9</v>
      </c>
      <c r="G41" s="13">
        <v>3.5000000000000003E-2</v>
      </c>
      <c r="H41" s="4"/>
    </row>
    <row r="42" spans="1:9">
      <c r="A42" s="9"/>
      <c r="B42" t="s">
        <v>63</v>
      </c>
      <c r="C42" t="s">
        <v>49</v>
      </c>
      <c r="D42" t="s">
        <v>50</v>
      </c>
      <c r="E42" t="s">
        <v>51</v>
      </c>
      <c r="F42" t="s">
        <v>9</v>
      </c>
      <c r="G42" s="13">
        <v>3.5000000000000003E-2</v>
      </c>
      <c r="H42" s="4"/>
    </row>
    <row r="43" spans="1:9">
      <c r="A43" s="9" t="s">
        <v>162</v>
      </c>
      <c r="B43" t="s">
        <v>64</v>
      </c>
      <c r="C43" t="s">
        <v>65</v>
      </c>
      <c r="D43" t="s">
        <v>50</v>
      </c>
      <c r="E43" t="s">
        <v>51</v>
      </c>
      <c r="F43" t="s">
        <v>9</v>
      </c>
      <c r="G43" s="12">
        <v>6.1330000000000003E-2</v>
      </c>
      <c r="H43" s="4"/>
      <c r="I43" t="s">
        <v>185</v>
      </c>
    </row>
    <row r="44" spans="1:9">
      <c r="A44" s="9"/>
      <c r="B44" t="s">
        <v>66</v>
      </c>
      <c r="C44" t="s">
        <v>65</v>
      </c>
      <c r="D44" t="s">
        <v>50</v>
      </c>
      <c r="E44" t="s">
        <v>51</v>
      </c>
      <c r="F44" t="s">
        <v>9</v>
      </c>
      <c r="G44" s="12">
        <v>6.1330000000000003E-2</v>
      </c>
      <c r="H44" s="4"/>
    </row>
    <row r="45" spans="1:9">
      <c r="A45" s="9" t="s">
        <v>162</v>
      </c>
      <c r="B45" t="s">
        <v>67</v>
      </c>
      <c r="C45" t="s">
        <v>68</v>
      </c>
      <c r="D45" t="s">
        <v>50</v>
      </c>
      <c r="E45" t="s">
        <v>51</v>
      </c>
      <c r="F45" t="s">
        <v>9</v>
      </c>
      <c r="G45" s="12" t="s">
        <v>184</v>
      </c>
      <c r="H45" s="4"/>
      <c r="I45" t="s">
        <v>186</v>
      </c>
    </row>
    <row r="46" spans="1:9">
      <c r="A46" s="9"/>
      <c r="B46" t="s">
        <v>69</v>
      </c>
      <c r="C46" t="s">
        <v>68</v>
      </c>
      <c r="D46" t="s">
        <v>50</v>
      </c>
      <c r="E46" t="s">
        <v>51</v>
      </c>
      <c r="F46" t="s">
        <v>9</v>
      </c>
      <c r="G46" s="12" t="s">
        <v>184</v>
      </c>
      <c r="H46" s="4"/>
    </row>
    <row r="47" spans="1:9">
      <c r="A47" s="6" t="s">
        <v>162</v>
      </c>
      <c r="B47" t="s">
        <v>70</v>
      </c>
      <c r="C47" s="5">
        <v>0</v>
      </c>
      <c r="D47" t="s">
        <v>50</v>
      </c>
      <c r="E47" t="s">
        <v>51</v>
      </c>
      <c r="F47" t="s">
        <v>9</v>
      </c>
      <c r="G47" s="12">
        <v>2.1299999999999999E-2</v>
      </c>
      <c r="H47" s="4"/>
      <c r="I47" t="s">
        <v>180</v>
      </c>
    </row>
    <row r="48" spans="1:9">
      <c r="A48" s="8" t="s">
        <v>169</v>
      </c>
      <c r="B48" t="s">
        <v>71</v>
      </c>
      <c r="D48" t="s">
        <v>72</v>
      </c>
      <c r="E48" t="s">
        <v>73</v>
      </c>
      <c r="F48" t="s">
        <v>38</v>
      </c>
      <c r="G48" s="14">
        <v>3.4000000000000002E-2</v>
      </c>
      <c r="I48" t="s">
        <v>187</v>
      </c>
    </row>
    <row r="49" spans="1:9">
      <c r="A49" s="16" t="s">
        <v>161</v>
      </c>
      <c r="B49" t="s">
        <v>74</v>
      </c>
      <c r="D49" t="s">
        <v>168</v>
      </c>
      <c r="G49" s="14"/>
    </row>
    <row r="50" spans="1:9">
      <c r="A50" s="16"/>
      <c r="B50" t="s">
        <v>166</v>
      </c>
      <c r="D50" t="s">
        <v>168</v>
      </c>
      <c r="G50" s="14"/>
    </row>
    <row r="51" spans="1:9">
      <c r="A51" s="16"/>
      <c r="B51" t="s">
        <v>167</v>
      </c>
      <c r="D51" t="s">
        <v>168</v>
      </c>
      <c r="G51" s="14"/>
    </row>
    <row r="52" spans="1:9">
      <c r="A52" s="16"/>
      <c r="B52" t="s">
        <v>75</v>
      </c>
      <c r="C52" t="s">
        <v>76</v>
      </c>
      <c r="D52" t="s">
        <v>76</v>
      </c>
      <c r="E52" t="s">
        <v>77</v>
      </c>
      <c r="F52" t="s">
        <v>78</v>
      </c>
      <c r="G52" s="13"/>
      <c r="H52" s="4"/>
    </row>
    <row r="53" spans="1:9">
      <c r="A53" s="16"/>
      <c r="B53" t="s">
        <v>79</v>
      </c>
      <c r="C53" t="s">
        <v>76</v>
      </c>
      <c r="D53" t="s">
        <v>76</v>
      </c>
      <c r="E53" t="s">
        <v>77</v>
      </c>
      <c r="F53" t="s">
        <v>78</v>
      </c>
      <c r="G53" s="13"/>
      <c r="H53" s="4"/>
    </row>
    <row r="54" spans="1:9">
      <c r="A54" s="16"/>
      <c r="B54" t="s">
        <v>80</v>
      </c>
      <c r="C54" t="s">
        <v>76</v>
      </c>
      <c r="D54" t="s">
        <v>76</v>
      </c>
      <c r="E54" t="s">
        <v>77</v>
      </c>
      <c r="F54" t="s">
        <v>78</v>
      </c>
      <c r="G54" s="13"/>
      <c r="H54" s="4"/>
    </row>
    <row r="55" spans="1:9">
      <c r="A55" s="16"/>
      <c r="B55" t="s">
        <v>81</v>
      </c>
      <c r="C55" t="s">
        <v>76</v>
      </c>
      <c r="D55" t="s">
        <v>76</v>
      </c>
      <c r="E55" t="s">
        <v>77</v>
      </c>
      <c r="F55" t="s">
        <v>78</v>
      </c>
      <c r="G55" s="13"/>
      <c r="H55" s="4"/>
    </row>
    <row r="56" spans="1:9">
      <c r="A56" s="16"/>
      <c r="B56" t="s">
        <v>82</v>
      </c>
      <c r="C56" t="s">
        <v>76</v>
      </c>
      <c r="D56" t="s">
        <v>76</v>
      </c>
      <c r="E56" t="s">
        <v>77</v>
      </c>
      <c r="F56" t="s">
        <v>78</v>
      </c>
      <c r="G56" s="13"/>
      <c r="H56" s="4"/>
    </row>
    <row r="57" spans="1:9">
      <c r="A57" s="16"/>
      <c r="B57" t="s">
        <v>83</v>
      </c>
      <c r="C57" t="s">
        <v>76</v>
      </c>
      <c r="D57" t="s">
        <v>76</v>
      </c>
      <c r="E57" t="s">
        <v>77</v>
      </c>
      <c r="F57" t="s">
        <v>78</v>
      </c>
      <c r="G57" s="13"/>
      <c r="H57" s="4"/>
    </row>
    <row r="58" spans="1:9">
      <c r="A58" s="16"/>
      <c r="B58" t="s">
        <v>84</v>
      </c>
      <c r="C58" t="s">
        <v>76</v>
      </c>
      <c r="D58" t="s">
        <v>76</v>
      </c>
      <c r="E58" t="s">
        <v>77</v>
      </c>
      <c r="F58" t="s">
        <v>78</v>
      </c>
      <c r="G58" s="13"/>
      <c r="H58" s="4"/>
    </row>
    <row r="59" spans="1:9">
      <c r="A59" s="16"/>
      <c r="B59" t="s">
        <v>85</v>
      </c>
      <c r="C59" t="s">
        <v>76</v>
      </c>
      <c r="D59" t="s">
        <v>76</v>
      </c>
      <c r="E59" t="s">
        <v>77</v>
      </c>
      <c r="F59" t="s">
        <v>78</v>
      </c>
      <c r="G59" s="13"/>
      <c r="H59" s="4"/>
    </row>
    <row r="60" spans="1:9">
      <c r="A60" s="16"/>
      <c r="B60" t="s">
        <v>86</v>
      </c>
      <c r="C60" t="s">
        <v>76</v>
      </c>
      <c r="D60" t="s">
        <v>76</v>
      </c>
      <c r="E60" t="s">
        <v>77</v>
      </c>
      <c r="F60" t="s">
        <v>78</v>
      </c>
      <c r="G60" s="13"/>
      <c r="H60" s="4"/>
    </row>
    <row r="61" spans="1:9">
      <c r="A61" s="15" t="s">
        <v>160</v>
      </c>
      <c r="B61" t="s">
        <v>87</v>
      </c>
      <c r="C61" t="s">
        <v>88</v>
      </c>
      <c r="D61" t="s">
        <v>89</v>
      </c>
      <c r="E61" t="s">
        <v>90</v>
      </c>
      <c r="F61" t="s">
        <v>91</v>
      </c>
      <c r="G61" s="14">
        <v>1.1499999999999999</v>
      </c>
      <c r="I61" t="s">
        <v>148</v>
      </c>
    </row>
    <row r="62" spans="1:9">
      <c r="A62" s="15"/>
      <c r="B62" t="s">
        <v>92</v>
      </c>
      <c r="C62" t="s">
        <v>93</v>
      </c>
      <c r="D62" t="s">
        <v>89</v>
      </c>
      <c r="E62" t="s">
        <v>90</v>
      </c>
      <c r="F62" t="s">
        <v>91</v>
      </c>
      <c r="G62" s="14">
        <v>1.1499999999999999</v>
      </c>
    </row>
    <row r="63" spans="1:9">
      <c r="A63" s="15"/>
      <c r="B63" t="s">
        <v>94</v>
      </c>
      <c r="C63" t="s">
        <v>130</v>
      </c>
      <c r="D63" t="s">
        <v>89</v>
      </c>
      <c r="E63" t="s">
        <v>90</v>
      </c>
      <c r="F63" t="s">
        <v>91</v>
      </c>
      <c r="G63" s="14">
        <v>1.1499999999999999</v>
      </c>
    </row>
    <row r="64" spans="1:9">
      <c r="A64" s="6" t="s">
        <v>164</v>
      </c>
      <c r="B64" t="s">
        <v>95</v>
      </c>
      <c r="C64" t="s">
        <v>96</v>
      </c>
      <c r="D64" t="s">
        <v>96</v>
      </c>
      <c r="E64" t="s">
        <v>96</v>
      </c>
      <c r="F64" t="s">
        <v>97</v>
      </c>
      <c r="G64" s="14">
        <v>5.72</v>
      </c>
      <c r="I64" s="1" t="s">
        <v>152</v>
      </c>
    </row>
    <row r="65" spans="1:10">
      <c r="A65" s="8" t="s">
        <v>159</v>
      </c>
      <c r="B65" t="s">
        <v>98</v>
      </c>
      <c r="C65" t="s">
        <v>131</v>
      </c>
      <c r="D65" t="s">
        <v>188</v>
      </c>
      <c r="E65" t="s">
        <v>99</v>
      </c>
      <c r="F65" t="s">
        <v>189</v>
      </c>
      <c r="G65" s="14">
        <v>8.69</v>
      </c>
      <c r="H65" s="3" t="s">
        <v>190</v>
      </c>
      <c r="I65" s="2" t="s">
        <v>151</v>
      </c>
    </row>
    <row r="66" spans="1:10">
      <c r="A66" s="8" t="s">
        <v>170</v>
      </c>
      <c r="B66" t="s">
        <v>100</v>
      </c>
      <c r="C66" t="s">
        <v>101</v>
      </c>
      <c r="D66" t="s">
        <v>102</v>
      </c>
      <c r="E66" t="s">
        <v>103</v>
      </c>
      <c r="F66" t="s">
        <v>104</v>
      </c>
      <c r="G66" s="14">
        <v>9.9600000000000009</v>
      </c>
      <c r="I66" t="s">
        <v>143</v>
      </c>
    </row>
    <row r="67" spans="1:10">
      <c r="A67" s="15" t="s">
        <v>160</v>
      </c>
      <c r="B67" t="s">
        <v>105</v>
      </c>
      <c r="C67" t="s">
        <v>106</v>
      </c>
      <c r="D67" t="s">
        <v>106</v>
      </c>
      <c r="E67" t="s">
        <v>107</v>
      </c>
      <c r="F67" t="s">
        <v>106</v>
      </c>
      <c r="G67" s="14">
        <v>1.5149999999999999</v>
      </c>
      <c r="H67" s="3" t="s">
        <v>192</v>
      </c>
      <c r="I67" s="1" t="s">
        <v>191</v>
      </c>
    </row>
    <row r="68" spans="1:10">
      <c r="A68" s="15"/>
      <c r="B68" t="s">
        <v>108</v>
      </c>
      <c r="C68" t="s">
        <v>106</v>
      </c>
      <c r="D68" t="s">
        <v>106</v>
      </c>
      <c r="E68" t="s">
        <v>107</v>
      </c>
      <c r="F68" t="s">
        <v>106</v>
      </c>
      <c r="G68" s="14">
        <v>2.5150000000000001</v>
      </c>
      <c r="H68" s="3" t="s">
        <v>192</v>
      </c>
    </row>
    <row r="69" spans="1:10">
      <c r="A69" s="15"/>
      <c r="B69" t="s">
        <v>109</v>
      </c>
      <c r="C69" t="s">
        <v>106</v>
      </c>
      <c r="D69" t="s">
        <v>106</v>
      </c>
      <c r="E69" t="s">
        <v>107</v>
      </c>
      <c r="F69" t="s">
        <v>106</v>
      </c>
      <c r="G69" s="14">
        <v>3.5150000000000001</v>
      </c>
      <c r="H69" s="3" t="s">
        <v>192</v>
      </c>
    </row>
    <row r="70" spans="1:10">
      <c r="A70" s="6" t="s">
        <v>165</v>
      </c>
      <c r="B70" t="s">
        <v>110</v>
      </c>
      <c r="C70" t="s">
        <v>132</v>
      </c>
      <c r="D70" t="s">
        <v>133</v>
      </c>
      <c r="E70" t="s">
        <v>111</v>
      </c>
      <c r="F70" t="s">
        <v>112</v>
      </c>
      <c r="G70" s="14">
        <v>0.13500000000000001</v>
      </c>
      <c r="I70" t="s">
        <v>193</v>
      </c>
    </row>
    <row r="71" spans="1:10">
      <c r="A71" s="6" t="s">
        <v>163</v>
      </c>
      <c r="B71" t="s">
        <v>113</v>
      </c>
      <c r="C71" t="s">
        <v>137</v>
      </c>
      <c r="D71" t="s">
        <v>114</v>
      </c>
      <c r="E71" t="s">
        <v>115</v>
      </c>
      <c r="F71" t="s">
        <v>116</v>
      </c>
      <c r="G71" s="14">
        <v>2</v>
      </c>
      <c r="I71" s="1" t="s">
        <v>144</v>
      </c>
      <c r="J71" s="1" t="s">
        <v>150</v>
      </c>
    </row>
    <row r="72" spans="1:10">
      <c r="A72" s="6" t="s">
        <v>163</v>
      </c>
      <c r="B72" t="s">
        <v>117</v>
      </c>
      <c r="C72" t="s">
        <v>138</v>
      </c>
      <c r="D72" t="s">
        <v>118</v>
      </c>
      <c r="E72" t="s">
        <v>119</v>
      </c>
      <c r="F72" t="s">
        <v>116</v>
      </c>
      <c r="G72" s="14">
        <v>3.26</v>
      </c>
      <c r="I72" t="s">
        <v>145</v>
      </c>
      <c r="J72" s="1" t="s">
        <v>153</v>
      </c>
    </row>
    <row r="73" spans="1:10">
      <c r="A73" s="7"/>
      <c r="B73" t="s">
        <v>120</v>
      </c>
      <c r="C73" t="s">
        <v>139</v>
      </c>
      <c r="D73" t="s">
        <v>121</v>
      </c>
      <c r="E73" t="s">
        <v>122</v>
      </c>
      <c r="F73" t="s">
        <v>123</v>
      </c>
      <c r="G73" s="14"/>
    </row>
    <row r="74" spans="1:10">
      <c r="A74" s="6" t="s">
        <v>160</v>
      </c>
      <c r="B74" t="s">
        <v>124</v>
      </c>
      <c r="C74" t="s">
        <v>140</v>
      </c>
      <c r="D74" t="s">
        <v>134</v>
      </c>
      <c r="E74" t="s">
        <v>125</v>
      </c>
      <c r="F74" t="s">
        <v>126</v>
      </c>
      <c r="G74" s="14">
        <v>0.23200000000000001</v>
      </c>
      <c r="I74" t="s">
        <v>195</v>
      </c>
    </row>
    <row r="75" spans="1:10">
      <c r="A75" s="6" t="s">
        <v>160</v>
      </c>
      <c r="B75" t="s">
        <v>127</v>
      </c>
      <c r="C75" t="s">
        <v>128</v>
      </c>
      <c r="D75" t="s">
        <v>128</v>
      </c>
      <c r="E75" t="s">
        <v>128</v>
      </c>
      <c r="F75" t="s">
        <v>129</v>
      </c>
      <c r="G75" s="14">
        <v>0.28599999999999998</v>
      </c>
      <c r="I75" t="s">
        <v>194</v>
      </c>
    </row>
    <row r="76" spans="1:10">
      <c r="G76" s="14"/>
    </row>
    <row r="77" spans="1:10">
      <c r="A77" s="11" t="s">
        <v>164</v>
      </c>
      <c r="C77" t="s">
        <v>154</v>
      </c>
      <c r="D77" t="s">
        <v>147</v>
      </c>
      <c r="G77" s="14">
        <v>6.09</v>
      </c>
      <c r="I77" t="s">
        <v>155</v>
      </c>
    </row>
    <row r="78" spans="1:10">
      <c r="A78" s="11" t="s">
        <v>172</v>
      </c>
      <c r="D78" t="s">
        <v>149</v>
      </c>
      <c r="F78" t="s">
        <v>156</v>
      </c>
      <c r="G78" s="14">
        <v>4.2</v>
      </c>
      <c r="I78" t="s">
        <v>157</v>
      </c>
    </row>
    <row r="79" spans="1:10">
      <c r="F79" t="s">
        <v>146</v>
      </c>
      <c r="G79" s="3">
        <f>SUM(G4:G78)</f>
        <v>55.47945</v>
      </c>
    </row>
    <row r="81" spans="4:4">
      <c r="D81" t="s">
        <v>196</v>
      </c>
    </row>
  </sheetData>
  <mergeCells count="3">
    <mergeCell ref="A67:A69"/>
    <mergeCell ref="A61:A63"/>
    <mergeCell ref="A49:A60"/>
  </mergeCells>
  <hyperlinks>
    <hyperlink ref="I13" r:id="rId1"/>
    <hyperlink ref="I65" r:id="rId2"/>
    <hyperlink ref="I64" r:id="rId3"/>
    <hyperlink ref="J72" r:id="rId4"/>
    <hyperlink ref="J71" r:id="rId5"/>
    <hyperlink ref="I71" r:id="rId6"/>
    <hyperlink ref="I4" r:id="rId7"/>
    <hyperlink ref="I28" r:id="rId8"/>
  </hyperlinks>
  <pageMargins left="0.7" right="0.7" top="0.75" bottom="0.75" header="0.3" footer="0.3"/>
  <pageSetup paperSize="9" orientation="portrait" horizontalDpi="4294967293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</vt:i4>
      </vt:variant>
    </vt:vector>
  </HeadingPairs>
  <TitlesOfParts>
    <vt:vector size="4" baseType="lpstr">
      <vt:lpstr>Arkusz1</vt:lpstr>
      <vt:lpstr>Arkusz2</vt:lpstr>
      <vt:lpstr>Arkusz3</vt:lpstr>
      <vt:lpstr>Arkusz1!audi_cdc_bt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2021-01-08T22:24:25Z</dcterms:modified>
</cp:coreProperties>
</file>