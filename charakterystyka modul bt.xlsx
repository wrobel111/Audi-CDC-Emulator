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7960" windowHeight="12345"/>
  </bookViews>
  <sheets>
    <sheet name="Arkusz1" sheetId="1" r:id="rId1"/>
    <sheet name="Arkusz2" sheetId="2" r:id="rId2"/>
    <sheet name="Arkusz3" sheetId="3" r:id="rId3"/>
  </sheets>
  <calcPr calcId="125725"/>
</workbook>
</file>

<file path=xl/calcChain.xml><?xml version="1.0" encoding="utf-8"?>
<calcChain xmlns="http://schemas.openxmlformats.org/spreadsheetml/2006/main">
  <c r="E20" i="1"/>
  <c r="E28"/>
  <c r="D3"/>
  <c r="E3" s="1"/>
  <c r="D4"/>
  <c r="E4" s="1"/>
  <c r="D5"/>
  <c r="E5" s="1"/>
  <c r="D6"/>
  <c r="E6" s="1"/>
  <c r="D7"/>
  <c r="E7" s="1"/>
  <c r="D8"/>
  <c r="E8" s="1"/>
  <c r="D9"/>
  <c r="E9" s="1"/>
  <c r="D10"/>
  <c r="E10" s="1"/>
  <c r="D11"/>
  <c r="E11" s="1"/>
  <c r="D12"/>
  <c r="E12" s="1"/>
  <c r="D13"/>
  <c r="E13" s="1"/>
  <c r="D14"/>
  <c r="E14" s="1"/>
  <c r="D15"/>
  <c r="E15" s="1"/>
  <c r="D16"/>
  <c r="E16" s="1"/>
  <c r="D17"/>
  <c r="E17" s="1"/>
  <c r="D18"/>
  <c r="E18" s="1"/>
  <c r="D19"/>
  <c r="E19" s="1"/>
  <c r="D20"/>
  <c r="D21"/>
  <c r="E21" s="1"/>
  <c r="D22"/>
  <c r="E22" s="1"/>
  <c r="D23"/>
  <c r="E23" s="1"/>
  <c r="D24"/>
  <c r="E24" s="1"/>
  <c r="D25"/>
  <c r="E25" s="1"/>
  <c r="D26"/>
  <c r="E26" s="1"/>
  <c r="D27"/>
  <c r="E27" s="1"/>
  <c r="D28"/>
  <c r="D29"/>
  <c r="E29" s="1"/>
  <c r="D2"/>
  <c r="E2" s="1"/>
</calcChain>
</file>

<file path=xl/sharedStrings.xml><?xml version="1.0" encoding="utf-8"?>
<sst xmlns="http://schemas.openxmlformats.org/spreadsheetml/2006/main" count="4" uniqueCount="4">
  <si>
    <t>częstotliwość</t>
  </si>
  <si>
    <t>U p-p</t>
  </si>
  <si>
    <t>Uref</t>
  </si>
  <si>
    <t>U/Uref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</si>
</sst>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scatterChart>
        <c:scatterStyle val="smoothMarker"/>
        <c:ser>
          <c:idx val="1"/>
          <c:order val="0"/>
          <c:xVal>
            <c:numRef>
              <c:f>Arkusz1!$A$2:$A$29</c:f>
              <c:numCache>
                <c:formatCode>General</c:formatCode>
                <c:ptCount val="2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</c:numCache>
            </c:numRef>
          </c:xVal>
          <c:yVal>
            <c:numRef>
              <c:f>Arkusz1!$E$2:$E$29</c:f>
              <c:numCache>
                <c:formatCode>General</c:formatCode>
                <c:ptCount val="28"/>
                <c:pt idx="0">
                  <c:v>3.5218251811136247</c:v>
                </c:pt>
                <c:pt idx="1">
                  <c:v>8.6272752831797472</c:v>
                </c:pt>
                <c:pt idx="2">
                  <c:v>11.480625354554377</c:v>
                </c:pt>
                <c:pt idx="3">
                  <c:v>13.624824747511743</c:v>
                </c:pt>
                <c:pt idx="4">
                  <c:v>15.117497113449829</c:v>
                </c:pt>
                <c:pt idx="5">
                  <c:v>16.338076787513206</c:v>
                </c:pt>
                <c:pt idx="6">
                  <c:v>17.266457202409118</c:v>
                </c:pt>
                <c:pt idx="7">
                  <c:v>18.061799739838872</c:v>
                </c:pt>
                <c:pt idx="8">
                  <c:v>18.689969024871353</c:v>
                </c:pt>
                <c:pt idx="9">
                  <c:v>19.275756546911104</c:v>
                </c:pt>
                <c:pt idx="10">
                  <c:v>22.144199392957368</c:v>
                </c:pt>
                <c:pt idx="11">
                  <c:v>23.287057115688743</c:v>
                </c:pt>
                <c:pt idx="12">
                  <c:v>23.750414416729264</c:v>
                </c:pt>
                <c:pt idx="13">
                  <c:v>24.082399653118497</c:v>
                </c:pt>
                <c:pt idx="14">
                  <c:v>24.296876960953956</c:v>
                </c:pt>
                <c:pt idx="15">
                  <c:v>24.506185634517259</c:v>
                </c:pt>
                <c:pt idx="16">
                  <c:v>24.608978427565479</c:v>
                </c:pt>
                <c:pt idx="17">
                  <c:v>24.608978427565479</c:v>
                </c:pt>
                <c:pt idx="18">
                  <c:v>24.710568938150978</c:v>
                </c:pt>
                <c:pt idx="19">
                  <c:v>24.810984965651993</c:v>
                </c:pt>
                <c:pt idx="20">
                  <c:v>24.810984965651993</c:v>
                </c:pt>
                <c:pt idx="21">
                  <c:v>24.810984965651993</c:v>
                </c:pt>
                <c:pt idx="22">
                  <c:v>24.810984965651993</c:v>
                </c:pt>
                <c:pt idx="23">
                  <c:v>24.810984965651993</c:v>
                </c:pt>
                <c:pt idx="24">
                  <c:v>24.810984965651993</c:v>
                </c:pt>
                <c:pt idx="25">
                  <c:v>24.710568938150978</c:v>
                </c:pt>
                <c:pt idx="26">
                  <c:v>24.608978427565479</c:v>
                </c:pt>
                <c:pt idx="27">
                  <c:v>24.608978427565479</c:v>
                </c:pt>
              </c:numCache>
            </c:numRef>
          </c:yVal>
          <c:smooth val="1"/>
        </c:ser>
        <c:dLbls/>
        <c:axId val="52164096"/>
        <c:axId val="52162560"/>
      </c:scatterChart>
      <c:valAx>
        <c:axId val="52164096"/>
        <c:scaling>
          <c:logBase val="10"/>
          <c:orientation val="minMax"/>
          <c:min val="1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częstotliwość</a:t>
                </a:r>
                <a:r>
                  <a:rPr lang="pl-PL" baseline="0"/>
                  <a:t> Hz</a:t>
                </a:r>
                <a:endParaRPr lang="pl-PL"/>
              </a:p>
            </c:rich>
          </c:tx>
          <c:layout/>
        </c:title>
        <c:numFmt formatCode="General" sourceLinked="1"/>
        <c:tickLblPos val="nextTo"/>
        <c:crossAx val="52162560"/>
        <c:crosses val="autoZero"/>
        <c:crossBetween val="midCat"/>
        <c:majorUnit val="10"/>
        <c:minorUnit val="10"/>
      </c:valAx>
      <c:valAx>
        <c:axId val="52162560"/>
        <c:scaling>
          <c:logBase val="10"/>
          <c:orientation val="minMax"/>
          <c:max val="100"/>
          <c:min val="1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wzmocnienie dB</a:t>
                </a:r>
              </a:p>
            </c:rich>
          </c:tx>
          <c:layout/>
        </c:title>
        <c:numFmt formatCode="General" sourceLinked="1"/>
        <c:tickLblPos val="nextTo"/>
        <c:crossAx val="521640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238124</xdr:colOff>
      <xdr:row>4</xdr:row>
      <xdr:rowOff>142874</xdr:rowOff>
    </xdr:from>
    <xdr:to>
      <xdr:col>27</xdr:col>
      <xdr:colOff>95249</xdr:colOff>
      <xdr:row>47</xdr:row>
      <xdr:rowOff>161924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>
      <selection activeCell="M28" sqref="M28"/>
    </sheetView>
  </sheetViews>
  <sheetFormatPr defaultRowHeight="14.25"/>
  <cols>
    <col min="1" max="1" width="13.125" customWidth="1"/>
    <col min="2" max="2" width="13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10</v>
      </c>
      <c r="B2">
        <v>150</v>
      </c>
      <c r="C2">
        <v>100</v>
      </c>
      <c r="D2">
        <f>B2/C2</f>
        <v>1.5</v>
      </c>
      <c r="E2">
        <f>20*LOG10(D2)</f>
        <v>3.5218251811136247</v>
      </c>
    </row>
    <row r="3" spans="1:5">
      <c r="A3">
        <v>20</v>
      </c>
      <c r="B3">
        <v>270</v>
      </c>
      <c r="C3">
        <v>100</v>
      </c>
      <c r="D3">
        <f t="shared" ref="D3:D29" si="0">B3/C3</f>
        <v>2.7</v>
      </c>
      <c r="E3">
        <f t="shared" ref="E3:E29" si="1">20*LOG10(D3)</f>
        <v>8.6272752831797472</v>
      </c>
    </row>
    <row r="4" spans="1:5">
      <c r="A4">
        <v>30</v>
      </c>
      <c r="B4">
        <v>375</v>
      </c>
      <c r="C4">
        <v>100</v>
      </c>
      <c r="D4">
        <f t="shared" si="0"/>
        <v>3.75</v>
      </c>
      <c r="E4">
        <f t="shared" si="1"/>
        <v>11.480625354554377</v>
      </c>
    </row>
    <row r="5" spans="1:5">
      <c r="A5">
        <v>40</v>
      </c>
      <c r="B5">
        <v>480</v>
      </c>
      <c r="C5">
        <v>100</v>
      </c>
      <c r="D5">
        <f t="shared" si="0"/>
        <v>4.8</v>
      </c>
      <c r="E5">
        <f t="shared" si="1"/>
        <v>13.624824747511743</v>
      </c>
    </row>
    <row r="6" spans="1:5">
      <c r="A6">
        <v>50</v>
      </c>
      <c r="B6">
        <v>570</v>
      </c>
      <c r="C6">
        <v>100</v>
      </c>
      <c r="D6">
        <f t="shared" si="0"/>
        <v>5.7</v>
      </c>
      <c r="E6">
        <f t="shared" si="1"/>
        <v>15.117497113449829</v>
      </c>
    </row>
    <row r="7" spans="1:5">
      <c r="A7">
        <v>60</v>
      </c>
      <c r="B7">
        <v>656</v>
      </c>
      <c r="C7">
        <v>100</v>
      </c>
      <c r="D7">
        <f t="shared" si="0"/>
        <v>6.56</v>
      </c>
      <c r="E7">
        <f t="shared" si="1"/>
        <v>16.338076787513206</v>
      </c>
    </row>
    <row r="8" spans="1:5">
      <c r="A8">
        <v>70</v>
      </c>
      <c r="B8">
        <v>730</v>
      </c>
      <c r="C8">
        <v>100</v>
      </c>
      <c r="D8">
        <f t="shared" si="0"/>
        <v>7.3</v>
      </c>
      <c r="E8">
        <f t="shared" si="1"/>
        <v>17.266457202409118</v>
      </c>
    </row>
    <row r="9" spans="1:5">
      <c r="A9">
        <v>80</v>
      </c>
      <c r="B9">
        <v>800</v>
      </c>
      <c r="C9">
        <v>100</v>
      </c>
      <c r="D9">
        <f t="shared" si="0"/>
        <v>8</v>
      </c>
      <c r="E9">
        <f t="shared" si="1"/>
        <v>18.061799739838872</v>
      </c>
    </row>
    <row r="10" spans="1:5">
      <c r="A10">
        <v>90</v>
      </c>
      <c r="B10">
        <v>860</v>
      </c>
      <c r="C10">
        <v>100</v>
      </c>
      <c r="D10">
        <f t="shared" si="0"/>
        <v>8.6</v>
      </c>
      <c r="E10">
        <f t="shared" si="1"/>
        <v>18.689969024871353</v>
      </c>
    </row>
    <row r="11" spans="1:5">
      <c r="A11">
        <v>100</v>
      </c>
      <c r="B11">
        <v>920</v>
      </c>
      <c r="C11">
        <v>100</v>
      </c>
      <c r="D11">
        <f t="shared" si="0"/>
        <v>9.1999999999999993</v>
      </c>
      <c r="E11">
        <f t="shared" si="1"/>
        <v>19.275756546911104</v>
      </c>
    </row>
    <row r="12" spans="1:5">
      <c r="A12">
        <v>200</v>
      </c>
      <c r="B12">
        <v>1280</v>
      </c>
      <c r="C12">
        <v>100</v>
      </c>
      <c r="D12">
        <f t="shared" si="0"/>
        <v>12.8</v>
      </c>
      <c r="E12">
        <f t="shared" si="1"/>
        <v>22.144199392957368</v>
      </c>
    </row>
    <row r="13" spans="1:5">
      <c r="A13">
        <v>300</v>
      </c>
      <c r="B13">
        <v>1460</v>
      </c>
      <c r="C13">
        <v>100</v>
      </c>
      <c r="D13">
        <f t="shared" si="0"/>
        <v>14.6</v>
      </c>
      <c r="E13">
        <f t="shared" si="1"/>
        <v>23.287057115688743</v>
      </c>
    </row>
    <row r="14" spans="1:5">
      <c r="A14">
        <v>400</v>
      </c>
      <c r="B14">
        <v>1540</v>
      </c>
      <c r="C14">
        <v>100</v>
      </c>
      <c r="D14">
        <f t="shared" si="0"/>
        <v>15.4</v>
      </c>
      <c r="E14">
        <f t="shared" si="1"/>
        <v>23.750414416729264</v>
      </c>
    </row>
    <row r="15" spans="1:5">
      <c r="A15">
        <v>500</v>
      </c>
      <c r="B15">
        <v>1600</v>
      </c>
      <c r="C15">
        <v>100</v>
      </c>
      <c r="D15">
        <f t="shared" si="0"/>
        <v>16</v>
      </c>
      <c r="E15">
        <f t="shared" si="1"/>
        <v>24.082399653118497</v>
      </c>
    </row>
    <row r="16" spans="1:5">
      <c r="A16">
        <v>600</v>
      </c>
      <c r="B16">
        <v>1640</v>
      </c>
      <c r="C16">
        <v>100</v>
      </c>
      <c r="D16">
        <f t="shared" si="0"/>
        <v>16.399999999999999</v>
      </c>
      <c r="E16">
        <f t="shared" si="1"/>
        <v>24.296876960953956</v>
      </c>
    </row>
    <row r="17" spans="1:5">
      <c r="A17">
        <v>700</v>
      </c>
      <c r="B17">
        <v>1680</v>
      </c>
      <c r="C17">
        <v>100</v>
      </c>
      <c r="D17">
        <f t="shared" si="0"/>
        <v>16.8</v>
      </c>
      <c r="E17">
        <f t="shared" si="1"/>
        <v>24.506185634517259</v>
      </c>
    </row>
    <row r="18" spans="1:5">
      <c r="A18">
        <v>800</v>
      </c>
      <c r="B18">
        <v>1700</v>
      </c>
      <c r="C18">
        <v>100</v>
      </c>
      <c r="D18">
        <f t="shared" si="0"/>
        <v>17</v>
      </c>
      <c r="E18">
        <f t="shared" si="1"/>
        <v>24.608978427565479</v>
      </c>
    </row>
    <row r="19" spans="1:5">
      <c r="A19">
        <v>900</v>
      </c>
      <c r="B19">
        <v>1700</v>
      </c>
      <c r="C19">
        <v>100</v>
      </c>
      <c r="D19">
        <f t="shared" si="0"/>
        <v>17</v>
      </c>
      <c r="E19">
        <f t="shared" si="1"/>
        <v>24.608978427565479</v>
      </c>
    </row>
    <row r="20" spans="1:5">
      <c r="A20">
        <v>1000</v>
      </c>
      <c r="B20">
        <v>1720</v>
      </c>
      <c r="C20">
        <v>100</v>
      </c>
      <c r="D20">
        <f t="shared" si="0"/>
        <v>17.2</v>
      </c>
      <c r="E20">
        <f t="shared" si="1"/>
        <v>24.710568938150978</v>
      </c>
    </row>
    <row r="21" spans="1:5">
      <c r="A21">
        <v>2000</v>
      </c>
      <c r="B21">
        <v>1740</v>
      </c>
      <c r="C21">
        <v>100</v>
      </c>
      <c r="D21">
        <f t="shared" si="0"/>
        <v>17.399999999999999</v>
      </c>
      <c r="E21">
        <f t="shared" si="1"/>
        <v>24.810984965651993</v>
      </c>
    </row>
    <row r="22" spans="1:5">
      <c r="A22">
        <v>3000</v>
      </c>
      <c r="B22">
        <v>1740</v>
      </c>
      <c r="C22">
        <v>100</v>
      </c>
      <c r="D22">
        <f t="shared" si="0"/>
        <v>17.399999999999999</v>
      </c>
      <c r="E22">
        <f t="shared" si="1"/>
        <v>24.810984965651993</v>
      </c>
    </row>
    <row r="23" spans="1:5">
      <c r="A23">
        <v>4000</v>
      </c>
      <c r="B23">
        <v>1740</v>
      </c>
      <c r="C23">
        <v>100</v>
      </c>
      <c r="D23">
        <f t="shared" si="0"/>
        <v>17.399999999999999</v>
      </c>
      <c r="E23">
        <f t="shared" si="1"/>
        <v>24.810984965651993</v>
      </c>
    </row>
    <row r="24" spans="1:5">
      <c r="A24">
        <v>5000</v>
      </c>
      <c r="B24">
        <v>1740</v>
      </c>
      <c r="C24">
        <v>100</v>
      </c>
      <c r="D24">
        <f t="shared" si="0"/>
        <v>17.399999999999999</v>
      </c>
      <c r="E24">
        <f t="shared" si="1"/>
        <v>24.810984965651993</v>
      </c>
    </row>
    <row r="25" spans="1:5">
      <c r="A25">
        <v>6000</v>
      </c>
      <c r="B25">
        <v>1740</v>
      </c>
      <c r="C25">
        <v>100</v>
      </c>
      <c r="D25">
        <f t="shared" si="0"/>
        <v>17.399999999999999</v>
      </c>
      <c r="E25">
        <f t="shared" si="1"/>
        <v>24.810984965651993</v>
      </c>
    </row>
    <row r="26" spans="1:5">
      <c r="A26">
        <v>7000</v>
      </c>
      <c r="B26">
        <v>1740</v>
      </c>
      <c r="C26">
        <v>100</v>
      </c>
      <c r="D26">
        <f t="shared" si="0"/>
        <v>17.399999999999999</v>
      </c>
      <c r="E26">
        <f t="shared" si="1"/>
        <v>24.810984965651993</v>
      </c>
    </row>
    <row r="27" spans="1:5">
      <c r="A27">
        <v>8000</v>
      </c>
      <c r="B27">
        <v>1720</v>
      </c>
      <c r="C27">
        <v>100</v>
      </c>
      <c r="D27">
        <f t="shared" si="0"/>
        <v>17.2</v>
      </c>
      <c r="E27">
        <f t="shared" si="1"/>
        <v>24.710568938150978</v>
      </c>
    </row>
    <row r="28" spans="1:5">
      <c r="A28">
        <v>9000</v>
      </c>
      <c r="B28">
        <v>1700</v>
      </c>
      <c r="C28">
        <v>100</v>
      </c>
      <c r="D28">
        <f t="shared" si="0"/>
        <v>17</v>
      </c>
      <c r="E28">
        <f t="shared" si="1"/>
        <v>24.608978427565479</v>
      </c>
    </row>
    <row r="29" spans="1:5">
      <c r="A29">
        <v>10000</v>
      </c>
      <c r="B29">
        <v>1700</v>
      </c>
      <c r="C29">
        <v>100</v>
      </c>
      <c r="D29">
        <f t="shared" si="0"/>
        <v>17</v>
      </c>
      <c r="E29">
        <f t="shared" si="1"/>
        <v>24.608978427565479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</dc:creator>
  <cp:lastModifiedBy>mateu</cp:lastModifiedBy>
  <dcterms:created xsi:type="dcterms:W3CDTF">2022-09-19T15:15:03Z</dcterms:created>
  <dcterms:modified xsi:type="dcterms:W3CDTF">2022-09-19T16:58:36Z</dcterms:modified>
</cp:coreProperties>
</file>